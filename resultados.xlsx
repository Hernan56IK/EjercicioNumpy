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<sst xmlns="http://schemas.openxmlformats.org/spreadsheetml/2006/main" count="36" uniqueCount="21">
  <si>
    <t>Tiempos Multiproceso</t>
  </si>
  <si>
    <t>Speedup Multiproceso</t>
  </si>
  <si>
    <t>Eficiencia Multiproceso</t>
  </si>
  <si>
    <t>Comparacion</t>
  </si>
  <si>
    <t>Procesos</t>
  </si>
  <si>
    <t>Ejec1</t>
  </si>
  <si>
    <t>Ejec2</t>
  </si>
  <si>
    <t>Ejec3</t>
  </si>
  <si>
    <t>Ejec4</t>
  </si>
  <si>
    <t>Ejec5</t>
  </si>
  <si>
    <t>Promedio</t>
  </si>
  <si>
    <t>Tiempo_promedio</t>
  </si>
  <si>
    <t>Speedup</t>
  </si>
  <si>
    <t>Eficiencia</t>
  </si>
  <si>
    <t>promedio 1 multiproceso</t>
  </si>
  <si>
    <t>promedio 1 hilo numpy</t>
  </si>
  <si>
    <t>Factor mejora numpy</t>
  </si>
  <si>
    <t>Tiempos Numpy</t>
  </si>
  <si>
    <t>Speedup Numpy</t>
  </si>
  <si>
    <t>Eficiencia Numpy</t>
  </si>
  <si>
    <t>Hilos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</si>
</sst>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center" shrinkToFit="0" wrapText="0"/>
    </xf>
    <xf borderId="1" fillId="0" fontId="1" numFmtId="0" xfId="0" applyAlignment="1" applyBorder="1" applyFont="1">
      <alignment horizontal="center" readingOrder="0" shrinkToFit="0" wrapText="0"/>
    </xf>
    <xf borderId="1" fillId="0" fontId="1" numFmtId="0" xfId="0" applyAlignment="1" applyBorder="1" applyFont="1">
      <alignment horizontal="center" readingOrder="0" shrinkToFit="0" vertical="bottom" wrapText="1"/>
    </xf>
    <xf borderId="1" fillId="0" fontId="1" numFmtId="0" xfId="0" applyAlignment="1" applyBorder="1" applyFont="1">
      <alignment horizontal="center"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5.5"/>
  </cols>
  <sheetData>
    <row r="1">
      <c r="A1" s="1" t="s">
        <v>0</v>
      </c>
      <c r="H1" s="2"/>
      <c r="I1" s="1" t="s">
        <v>1</v>
      </c>
      <c r="L1" s="1"/>
      <c r="M1" s="1"/>
      <c r="N1" s="3" t="s">
        <v>2</v>
      </c>
      <c r="Q1" s="3"/>
      <c r="R1" s="3"/>
      <c r="S1" s="3" t="s">
        <v>3</v>
      </c>
      <c r="T1" s="4"/>
      <c r="U1" s="4"/>
      <c r="V1" s="2"/>
    </row>
    <row r="2">
      <c r="A2" s="5"/>
      <c r="B2" s="5"/>
      <c r="C2" s="5"/>
      <c r="D2" s="5"/>
      <c r="E2" s="5"/>
      <c r="F2" s="5"/>
      <c r="G2" s="5"/>
      <c r="H2" s="2"/>
      <c r="I2" s="5"/>
      <c r="J2" s="5"/>
      <c r="K2" s="5"/>
      <c r="L2" s="5"/>
      <c r="M2" s="5"/>
      <c r="N2" s="4"/>
      <c r="O2" s="4"/>
      <c r="P2" s="4"/>
      <c r="Q2" s="4"/>
      <c r="R2" s="4"/>
      <c r="S2" s="4"/>
      <c r="T2" s="4"/>
      <c r="U2" s="4"/>
      <c r="V2" s="2"/>
    </row>
    <row r="3">
      <c r="A3" s="6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2"/>
      <c r="I3" s="6" t="s">
        <v>4</v>
      </c>
      <c r="J3" s="6" t="s">
        <v>11</v>
      </c>
      <c r="K3" s="6" t="s">
        <v>12</v>
      </c>
      <c r="L3" s="5"/>
      <c r="M3" s="5"/>
      <c r="N3" s="6" t="s">
        <v>4</v>
      </c>
      <c r="O3" s="6" t="s">
        <v>12</v>
      </c>
      <c r="P3" s="6" t="s">
        <v>13</v>
      </c>
      <c r="Q3" s="4"/>
      <c r="R3" s="4"/>
      <c r="S3" s="7" t="s">
        <v>14</v>
      </c>
      <c r="T3" s="7" t="s">
        <v>15</v>
      </c>
      <c r="U3" s="7" t="s">
        <v>16</v>
      </c>
      <c r="V3" s="2"/>
    </row>
    <row r="4">
      <c r="A4" s="6">
        <v>1.0</v>
      </c>
      <c r="B4" s="6">
        <v>2.1028</v>
      </c>
      <c r="C4" s="6">
        <v>1.8346</v>
      </c>
      <c r="D4" s="6">
        <v>1.8989</v>
      </c>
      <c r="E4" s="6">
        <v>1.7705</v>
      </c>
      <c r="F4" s="6">
        <v>1.8813</v>
      </c>
      <c r="G4" s="6">
        <f t="shared" ref="G4:G7" si="1">(SUM(B4:F4)-MAX(B4:F4)-MIN(B4:F4))/(COUNT(B4:F4)-2)</f>
        <v>1.8716</v>
      </c>
      <c r="H4" s="2"/>
      <c r="I4" s="6">
        <v>1.0</v>
      </c>
      <c r="J4" s="6">
        <f t="shared" ref="J4:J7" si="2">G4</f>
        <v>1.8716</v>
      </c>
      <c r="K4" s="6">
        <f>J4/J4</f>
        <v>1</v>
      </c>
      <c r="L4" s="5"/>
      <c r="M4" s="5"/>
      <c r="N4" s="6">
        <v>1.0</v>
      </c>
      <c r="O4" s="6">
        <f t="shared" ref="O4:O7" si="3">K4</f>
        <v>1</v>
      </c>
      <c r="P4" s="6">
        <f t="shared" ref="P4:P7" si="4">O4/N4</f>
        <v>1</v>
      </c>
      <c r="Q4" s="4"/>
      <c r="R4" s="4"/>
      <c r="S4" s="8">
        <f>G4</f>
        <v>1.8716</v>
      </c>
      <c r="T4" s="8">
        <f>G12</f>
        <v>0.054537</v>
      </c>
      <c r="U4" s="8">
        <f>S4/T4</f>
        <v>34.31798595</v>
      </c>
      <c r="V4" s="2"/>
    </row>
    <row r="5">
      <c r="A5" s="6">
        <v>2.0</v>
      </c>
      <c r="B5" s="6">
        <v>1.6575</v>
      </c>
      <c r="C5" s="6">
        <v>1.6321</v>
      </c>
      <c r="D5" s="6">
        <v>1.6014</v>
      </c>
      <c r="E5" s="6">
        <v>1.5817</v>
      </c>
      <c r="F5" s="6">
        <v>1.6652</v>
      </c>
      <c r="G5" s="6">
        <f t="shared" si="1"/>
        <v>1.630333333</v>
      </c>
      <c r="H5" s="2"/>
      <c r="I5" s="6">
        <v>2.0</v>
      </c>
      <c r="J5" s="6">
        <f t="shared" si="2"/>
        <v>1.630333333</v>
      </c>
      <c r="K5" s="6">
        <f>J4/J5</f>
        <v>1.147986097</v>
      </c>
      <c r="L5" s="5"/>
      <c r="M5" s="5"/>
      <c r="N5" s="6">
        <v>2.0</v>
      </c>
      <c r="O5" s="6">
        <f t="shared" si="3"/>
        <v>1.147986097</v>
      </c>
      <c r="P5" s="6">
        <f t="shared" si="4"/>
        <v>0.5739930485</v>
      </c>
      <c r="Q5" s="4"/>
      <c r="R5" s="4"/>
      <c r="S5" s="4"/>
      <c r="T5" s="4"/>
      <c r="U5" s="4"/>
      <c r="V5" s="2"/>
    </row>
    <row r="6">
      <c r="A6" s="6">
        <v>4.0</v>
      </c>
      <c r="B6" s="6">
        <v>1.6287</v>
      </c>
      <c r="C6" s="6">
        <v>1.6323</v>
      </c>
      <c r="D6" s="6">
        <v>1.5853</v>
      </c>
      <c r="E6" s="6">
        <v>1.7267</v>
      </c>
      <c r="F6" s="6">
        <v>1.6645</v>
      </c>
      <c r="G6" s="6">
        <f t="shared" si="1"/>
        <v>1.641833333</v>
      </c>
      <c r="H6" s="2"/>
      <c r="I6" s="6">
        <v>4.0</v>
      </c>
      <c r="J6" s="6">
        <f t="shared" si="2"/>
        <v>1.641833333</v>
      </c>
      <c r="K6" s="6">
        <f>J4/J6</f>
        <v>1.139945183</v>
      </c>
      <c r="L6" s="5"/>
      <c r="M6" s="5"/>
      <c r="N6" s="6">
        <v>4.0</v>
      </c>
      <c r="O6" s="6">
        <f t="shared" si="3"/>
        <v>1.139945183</v>
      </c>
      <c r="P6" s="6">
        <f t="shared" si="4"/>
        <v>0.2849862958</v>
      </c>
      <c r="Q6" s="4"/>
      <c r="R6" s="4"/>
      <c r="S6" s="4"/>
      <c r="T6" s="4"/>
      <c r="U6" s="4"/>
      <c r="V6" s="2"/>
    </row>
    <row r="7">
      <c r="A7" s="6">
        <v>8.0</v>
      </c>
      <c r="B7" s="6">
        <v>2.0619</v>
      </c>
      <c r="C7" s="6">
        <v>1.9992</v>
      </c>
      <c r="D7" s="6">
        <v>1.9084</v>
      </c>
      <c r="E7" s="6">
        <v>1.8386</v>
      </c>
      <c r="F7" s="6">
        <v>1.8444</v>
      </c>
      <c r="G7" s="6">
        <f t="shared" si="1"/>
        <v>1.917333333</v>
      </c>
      <c r="H7" s="2"/>
      <c r="I7" s="6">
        <v>8.0</v>
      </c>
      <c r="J7" s="6">
        <f t="shared" si="2"/>
        <v>1.917333333</v>
      </c>
      <c r="K7" s="6">
        <f>J4/J7</f>
        <v>0.976147427</v>
      </c>
      <c r="L7" s="5"/>
      <c r="M7" s="5"/>
      <c r="N7" s="6">
        <v>8.0</v>
      </c>
      <c r="O7" s="6">
        <f t="shared" si="3"/>
        <v>0.976147427</v>
      </c>
      <c r="P7" s="6">
        <f t="shared" si="4"/>
        <v>0.1220184284</v>
      </c>
      <c r="Q7" s="4"/>
      <c r="R7" s="4"/>
      <c r="S7" s="4"/>
      <c r="T7" s="4"/>
      <c r="U7" s="4"/>
      <c r="V7" s="2"/>
    </row>
    <row r="8">
      <c r="A8" s="5"/>
      <c r="B8" s="5"/>
      <c r="C8" s="5"/>
      <c r="D8" s="5"/>
      <c r="E8" s="5"/>
      <c r="F8" s="5"/>
      <c r="G8" s="1"/>
      <c r="H8" s="2"/>
      <c r="I8" s="2"/>
      <c r="J8" s="2"/>
      <c r="K8" s="2"/>
      <c r="L8" s="2"/>
      <c r="M8" s="2"/>
      <c r="N8" s="4"/>
      <c r="O8" s="4"/>
      <c r="P8" s="4"/>
      <c r="Q8" s="4"/>
      <c r="R8" s="4"/>
      <c r="S8" s="4"/>
      <c r="T8" s="4"/>
      <c r="U8" s="4"/>
      <c r="V8" s="2"/>
    </row>
    <row r="9">
      <c r="A9" s="1" t="s">
        <v>17</v>
      </c>
      <c r="H9" s="2"/>
      <c r="I9" s="1" t="s">
        <v>18</v>
      </c>
      <c r="L9" s="1"/>
      <c r="M9" s="1"/>
      <c r="N9" s="3" t="s">
        <v>19</v>
      </c>
      <c r="Q9" s="3"/>
      <c r="R9" s="3"/>
      <c r="S9" s="4"/>
      <c r="T9" s="4"/>
      <c r="U9" s="4"/>
      <c r="V9" s="2"/>
    </row>
    <row r="10">
      <c r="A10" s="5"/>
      <c r="B10" s="5"/>
      <c r="C10" s="5"/>
      <c r="D10" s="5"/>
      <c r="E10" s="5"/>
      <c r="F10" s="5"/>
      <c r="G10" s="1"/>
      <c r="H10" s="2"/>
      <c r="I10" s="2"/>
      <c r="J10" s="2"/>
      <c r="K10" s="2"/>
      <c r="L10" s="2"/>
      <c r="M10" s="2"/>
      <c r="N10" s="4"/>
      <c r="O10" s="4"/>
      <c r="P10" s="4"/>
      <c r="Q10" s="4"/>
      <c r="R10" s="4"/>
      <c r="S10" s="4"/>
      <c r="T10" s="4"/>
      <c r="U10" s="4"/>
      <c r="V10" s="2"/>
    </row>
    <row r="11">
      <c r="A11" s="9" t="s">
        <v>20</v>
      </c>
      <c r="B11" s="9" t="s">
        <v>5</v>
      </c>
      <c r="C11" s="9" t="s">
        <v>6</v>
      </c>
      <c r="D11" s="9" t="s">
        <v>7</v>
      </c>
      <c r="E11" s="9" t="s">
        <v>8</v>
      </c>
      <c r="F11" s="9" t="s">
        <v>9</v>
      </c>
      <c r="G11" s="6" t="s">
        <v>10</v>
      </c>
      <c r="H11" s="2"/>
      <c r="I11" s="8" t="s">
        <v>20</v>
      </c>
      <c r="J11" s="8" t="s">
        <v>11</v>
      </c>
      <c r="K11" s="8" t="s">
        <v>12</v>
      </c>
      <c r="L11" s="2"/>
      <c r="M11" s="2"/>
      <c r="N11" s="8" t="s">
        <v>20</v>
      </c>
      <c r="O11" s="8" t="s">
        <v>12</v>
      </c>
      <c r="P11" s="8" t="s">
        <v>13</v>
      </c>
      <c r="Q11" s="4"/>
      <c r="R11" s="4"/>
      <c r="S11" s="4"/>
      <c r="T11" s="4"/>
      <c r="U11" s="4"/>
      <c r="V11" s="2"/>
    </row>
    <row r="12">
      <c r="A12" s="10">
        <v>1.0</v>
      </c>
      <c r="B12" s="10">
        <v>0.056956</v>
      </c>
      <c r="C12" s="10">
        <v>0.053671</v>
      </c>
      <c r="D12" s="10">
        <v>0.054753</v>
      </c>
      <c r="E12" s="10">
        <v>0.054341</v>
      </c>
      <c r="F12" s="10">
        <v>0.054517</v>
      </c>
      <c r="G12" s="6">
        <f t="shared" ref="G12:G15" si="5">(SUM(B12:F12)-MAX(B12:F12)-MIN(B12:F12))/(COUNT(B12:F12)-2)</f>
        <v>0.054537</v>
      </c>
      <c r="H12" s="2"/>
      <c r="I12" s="8">
        <v>1.0</v>
      </c>
      <c r="J12" s="8">
        <f t="shared" ref="J12:J15" si="6">G12</f>
        <v>0.054537</v>
      </c>
      <c r="K12" s="8">
        <f>J12/J12</f>
        <v>1</v>
      </c>
      <c r="L12" s="2"/>
      <c r="M12" s="2"/>
      <c r="N12" s="8">
        <v>1.0</v>
      </c>
      <c r="O12" s="8">
        <f t="shared" ref="O12:O15" si="7">K12</f>
        <v>1</v>
      </c>
      <c r="P12" s="8">
        <f t="shared" ref="P12:P15" si="8">O12/N12</f>
        <v>1</v>
      </c>
      <c r="Q12" s="4"/>
      <c r="R12" s="4"/>
      <c r="S12" s="4"/>
      <c r="T12" s="4"/>
      <c r="U12" s="4"/>
      <c r="V12" s="2"/>
    </row>
    <row r="13">
      <c r="A13" s="10">
        <v>2.0</v>
      </c>
      <c r="B13" s="10">
        <v>0.082121</v>
      </c>
      <c r="C13" s="10">
        <v>0.056628</v>
      </c>
      <c r="D13" s="10">
        <v>0.058725</v>
      </c>
      <c r="E13" s="10">
        <v>0.053344</v>
      </c>
      <c r="F13" s="10">
        <v>0.055038</v>
      </c>
      <c r="G13" s="6">
        <f t="shared" si="5"/>
        <v>0.056797</v>
      </c>
      <c r="H13" s="2"/>
      <c r="I13" s="8">
        <v>2.0</v>
      </c>
      <c r="J13" s="8">
        <f t="shared" si="6"/>
        <v>0.056797</v>
      </c>
      <c r="K13" s="8">
        <f>J12/J13</f>
        <v>0.960209166</v>
      </c>
      <c r="L13" s="2"/>
      <c r="M13" s="2"/>
      <c r="N13" s="8">
        <v>2.0</v>
      </c>
      <c r="O13" s="8">
        <f t="shared" si="7"/>
        <v>0.960209166</v>
      </c>
      <c r="P13" s="8">
        <f t="shared" si="8"/>
        <v>0.480104583</v>
      </c>
      <c r="Q13" s="4"/>
      <c r="R13" s="4"/>
      <c r="S13" s="4"/>
      <c r="T13" s="4"/>
      <c r="U13" s="4"/>
      <c r="V13" s="2"/>
    </row>
    <row r="14">
      <c r="A14" s="10">
        <v>4.0</v>
      </c>
      <c r="B14" s="10">
        <v>0.058831</v>
      </c>
      <c r="C14" s="10">
        <v>0.056898</v>
      </c>
      <c r="D14" s="10">
        <v>0.057954</v>
      </c>
      <c r="E14" s="10">
        <v>0.058178</v>
      </c>
      <c r="F14" s="10">
        <v>0.058028</v>
      </c>
      <c r="G14" s="6">
        <f t="shared" si="5"/>
        <v>0.05805333333</v>
      </c>
      <c r="H14" s="2"/>
      <c r="I14" s="8">
        <v>4.0</v>
      </c>
      <c r="J14" s="8">
        <f t="shared" si="6"/>
        <v>0.05805333333</v>
      </c>
      <c r="K14" s="8">
        <f>J12/J14</f>
        <v>0.9394292605</v>
      </c>
      <c r="L14" s="2"/>
      <c r="M14" s="2"/>
      <c r="N14" s="8">
        <v>4.0</v>
      </c>
      <c r="O14" s="8">
        <f t="shared" si="7"/>
        <v>0.9394292605</v>
      </c>
      <c r="P14" s="8">
        <f t="shared" si="8"/>
        <v>0.2348573151</v>
      </c>
      <c r="Q14" s="4"/>
      <c r="R14" s="4"/>
      <c r="S14" s="4"/>
      <c r="T14" s="4"/>
      <c r="U14" s="4"/>
      <c r="V14" s="2"/>
    </row>
    <row r="15">
      <c r="A15" s="10">
        <v>8.0</v>
      </c>
      <c r="B15" s="10">
        <v>0.054955</v>
      </c>
      <c r="C15" s="10">
        <v>0.06472</v>
      </c>
      <c r="D15" s="10">
        <v>0.058923</v>
      </c>
      <c r="E15" s="10">
        <v>0.062178</v>
      </c>
      <c r="F15" s="10">
        <v>0.055565</v>
      </c>
      <c r="G15" s="6">
        <f t="shared" si="5"/>
        <v>0.05888866667</v>
      </c>
      <c r="H15" s="2"/>
      <c r="I15" s="8">
        <v>8.0</v>
      </c>
      <c r="J15" s="8">
        <f t="shared" si="6"/>
        <v>0.05888866667</v>
      </c>
      <c r="K15" s="8">
        <f>J12/J15</f>
        <v>0.9261034947</v>
      </c>
      <c r="L15" s="2"/>
      <c r="M15" s="2"/>
      <c r="N15" s="8">
        <v>8.0</v>
      </c>
      <c r="O15" s="8">
        <f t="shared" si="7"/>
        <v>0.9261034947</v>
      </c>
      <c r="P15" s="8">
        <f t="shared" si="8"/>
        <v>0.1157629368</v>
      </c>
      <c r="Q15" s="4"/>
      <c r="R15" s="4"/>
      <c r="S15" s="4"/>
      <c r="T15" s="4"/>
      <c r="U15" s="4"/>
      <c r="V15" s="2"/>
    </row>
    <row r="16">
      <c r="A16" s="5"/>
      <c r="B16" s="5"/>
      <c r="C16" s="5"/>
      <c r="D16" s="5"/>
      <c r="E16" s="5"/>
      <c r="F16" s="5"/>
      <c r="G16" s="5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>
      <c r="A17" s="5"/>
      <c r="B17" s="5"/>
      <c r="C17" s="5"/>
      <c r="D17" s="5"/>
      <c r="E17" s="5"/>
      <c r="F17" s="5"/>
      <c r="G17" s="5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>
      <c r="A18" s="5"/>
      <c r="B18" s="5"/>
      <c r="C18" s="5"/>
      <c r="D18" s="5"/>
      <c r="E18" s="5"/>
      <c r="F18" s="5"/>
      <c r="G18" s="5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</sheetData>
  <mergeCells count="6">
    <mergeCell ref="N1:P1"/>
    <mergeCell ref="N9:P9"/>
    <mergeCell ref="I9:K9"/>
    <mergeCell ref="I1:K1"/>
    <mergeCell ref="A1:G1"/>
    <mergeCell ref="A9:G9"/>
  </mergeCells>
  <drawing r:id="rId1"/>
</worksheet>
</file>